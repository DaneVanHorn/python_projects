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evanhorn/Desktop/Coding for fun/Finance/"/>
    </mc:Choice>
  </mc:AlternateContent>
  <xr:revisionPtr revIDLastSave="0" documentId="8_{4C0F6C97-9F75-9B48-B4F1-FF31BE02C470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" i="1" l="1"/>
  <c r="K8" i="1"/>
  <c r="J8" i="1"/>
  <c r="K2" i="1"/>
  <c r="G26" i="1"/>
  <c r="F26" i="1"/>
  <c r="D26" i="1"/>
  <c r="H26" i="1" s="1"/>
  <c r="I26" i="1" s="1"/>
  <c r="G25" i="1"/>
  <c r="F25" i="1"/>
  <c r="D25" i="1"/>
  <c r="H25" i="1" s="1"/>
  <c r="I25" i="1" s="1"/>
  <c r="G24" i="1"/>
  <c r="F24" i="1"/>
  <c r="D24" i="1"/>
  <c r="H24" i="1" s="1"/>
  <c r="I24" i="1" s="1"/>
  <c r="G23" i="1"/>
  <c r="F23" i="1"/>
  <c r="D23" i="1"/>
  <c r="H23" i="1" s="1"/>
  <c r="I23" i="1" s="1"/>
  <c r="G21" i="1"/>
  <c r="F21" i="1"/>
  <c r="D21" i="1"/>
  <c r="C26" i="1"/>
  <c r="C25" i="1"/>
  <c r="C24" i="1"/>
  <c r="C23" i="1"/>
  <c r="C21" i="1"/>
  <c r="G17" i="1"/>
  <c r="I27" i="1" l="1"/>
  <c r="K3" i="1" s="1"/>
  <c r="K6" i="1" s="1"/>
  <c r="K7" i="1" s="1"/>
  <c r="J24" i="1"/>
  <c r="K24" i="1" s="1"/>
  <c r="J23" i="1" l="1"/>
  <c r="J26" i="1"/>
  <c r="K26" i="1" s="1"/>
  <c r="J25" i="1"/>
  <c r="K25" i="1" s="1"/>
  <c r="K23" i="1" l="1"/>
  <c r="K27" i="1" s="1"/>
  <c r="K5" i="1" s="1"/>
  <c r="K10" i="1" s="1"/>
  <c r="J27" i="1"/>
</calcChain>
</file>

<file path=xl/sharedStrings.xml><?xml version="1.0" encoding="utf-8"?>
<sst xmlns="http://schemas.openxmlformats.org/spreadsheetml/2006/main" count="33" uniqueCount="33">
  <si>
    <t>Bond maturity</t>
  </si>
  <si>
    <t>Book value</t>
  </si>
  <si>
    <t>Price</t>
  </si>
  <si>
    <t>YTM</t>
  </si>
  <si>
    <t xml:space="preserve">BV of debt </t>
  </si>
  <si>
    <t>BV of equity per share</t>
  </si>
  <si>
    <t xml:space="preserve">Shares outstanding </t>
  </si>
  <si>
    <t>Beta</t>
  </si>
  <si>
    <t>3-month Treasury bill rate</t>
  </si>
  <si>
    <t>Market risk premium</t>
  </si>
  <si>
    <t>Tax rate</t>
  </si>
  <si>
    <t>Company</t>
  </si>
  <si>
    <t>Ford</t>
  </si>
  <si>
    <t>General Motors</t>
  </si>
  <si>
    <t>Honda</t>
  </si>
  <si>
    <t>Toyota</t>
  </si>
  <si>
    <t>Fiat Chrysler</t>
  </si>
  <si>
    <t>Volkswagen</t>
  </si>
  <si>
    <t>Daimler Chrysler</t>
  </si>
  <si>
    <t>Industry Average</t>
  </si>
  <si>
    <t>Tesla Beta</t>
  </si>
  <si>
    <t>Market Stock price</t>
  </si>
  <si>
    <t xml:space="preserve"> of Bonds Outs</t>
  </si>
  <si>
    <t>MV of debt</t>
  </si>
  <si>
    <t>MV of Equity</t>
  </si>
  <si>
    <t>MV of Debt</t>
  </si>
  <si>
    <t>Cost of Equity</t>
  </si>
  <si>
    <t>Cost of Debt</t>
  </si>
  <si>
    <t>Weight of Equity</t>
  </si>
  <si>
    <t>Weight of Debt</t>
  </si>
  <si>
    <t>Weight of Ind. Debt</t>
  </si>
  <si>
    <t>Weight * Cost</t>
  </si>
  <si>
    <t>WACC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</si>
</sst>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00_);_(* \(#,##0.000\);_(* &quot;-&quot;???_);_(@_)"/>
    <numFmt numFmtId="165" formatCode="0.000%"/>
    <numFmt numFmtId="166" formatCode="_(&quot;$&quot;* #,##0.000_);_(&quot;$&quot;* \(#,##0.000\);_(&quot;$&quot;* &quot;-&quot;_);_(@_)"/>
    <numFmt numFmtId="167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i/>
      <sz val="12"/>
      <name val="Arial"/>
      <family val="2"/>
    </font>
    <font>
      <sz val="12"/>
      <name val="Arial"/>
      <family val="2"/>
    </font>
    <font>
      <u/>
      <sz val="12"/>
      <name val="Arial"/>
      <family val="2"/>
    </font>
    <font>
      <sz val="12"/>
      <color indexed="12"/>
      <name val="Arial"/>
      <family val="2"/>
    </font>
    <font>
      <b/>
      <sz val="12"/>
      <color theme="1"/>
      <name val="Arial"/>
      <family val="2"/>
    </font>
    <font>
      <i/>
      <u/>
      <sz val="12"/>
      <name val="Arial"/>
      <family val="2"/>
    </font>
    <font>
      <u val="singleAccounting"/>
      <sz val="12"/>
      <color indexed="12"/>
      <name val="Arial"/>
      <family val="2"/>
    </font>
    <font>
      <b/>
      <u val="singleAccounting"/>
      <sz val="12"/>
      <color indexed="12"/>
      <name val="Arial"/>
      <family val="2"/>
    </font>
    <font>
      <b/>
      <sz val="12"/>
      <color indexed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</cellStyleXfs>
  <cellXfs count="44">
    <xf numFmtId="0" fontId="0" fillId="0" borderId="0" xfId="0"/>
    <xf numFmtId="0" fontId="2" fillId="0" borderId="0" xfId="3"/>
    <xf numFmtId="0" fontId="4" fillId="0" borderId="0" xfId="3" applyFont="1"/>
    <xf numFmtId="0" fontId="3" fillId="0" borderId="0" xfId="3" applyFont="1"/>
    <xf numFmtId="0" fontId="2" fillId="2" borderId="1" xfId="3" applyFill="1" applyBorder="1"/>
    <xf numFmtId="0" fontId="4" fillId="2" borderId="3" xfId="3" applyFont="1" applyFill="1" applyBorder="1"/>
    <xf numFmtId="0" fontId="2" fillId="2" borderId="4" xfId="3" applyFill="1" applyBorder="1"/>
    <xf numFmtId="0" fontId="5" fillId="2" borderId="0" xfId="3" applyFont="1" applyFill="1" applyAlignment="1">
      <alignment horizontal="center"/>
    </xf>
    <xf numFmtId="0" fontId="4" fillId="2" borderId="5" xfId="3" applyFont="1" applyFill="1" applyBorder="1"/>
    <xf numFmtId="14" fontId="4" fillId="2" borderId="0" xfId="3" applyNumberFormat="1" applyFont="1" applyFill="1" applyAlignment="1">
      <alignment horizontal="center"/>
    </xf>
    <xf numFmtId="42" fontId="6" fillId="2" borderId="0" xfId="3" applyNumberFormat="1" applyFont="1" applyFill="1"/>
    <xf numFmtId="164" fontId="6" fillId="2" borderId="0" xfId="3" applyNumberFormat="1" applyFont="1" applyFill="1"/>
    <xf numFmtId="165" fontId="6" fillId="2" borderId="0" xfId="2" applyNumberFormat="1" applyFont="1" applyFill="1" applyBorder="1"/>
    <xf numFmtId="0" fontId="4" fillId="2" borderId="0" xfId="3" applyFont="1" applyFill="1"/>
    <xf numFmtId="166" fontId="6" fillId="2" borderId="0" xfId="3" applyNumberFormat="1" applyFont="1" applyFill="1"/>
    <xf numFmtId="44" fontId="6" fillId="2" borderId="0" xfId="3" applyNumberFormat="1" applyFont="1" applyFill="1"/>
    <xf numFmtId="167" fontId="6" fillId="2" borderId="0" xfId="3" applyNumberFormat="1" applyFont="1" applyFill="1"/>
    <xf numFmtId="167" fontId="1" fillId="0" borderId="0" xfId="1" applyNumberFormat="1"/>
    <xf numFmtId="10" fontId="6" fillId="2" borderId="0" xfId="4" applyNumberFormat="1" applyFont="1" applyFill="1" applyBorder="1"/>
    <xf numFmtId="9" fontId="6" fillId="2" borderId="0" xfId="4" applyFont="1" applyFill="1" applyBorder="1"/>
    <xf numFmtId="0" fontId="2" fillId="2" borderId="6" xfId="3" applyFill="1" applyBorder="1"/>
    <xf numFmtId="0" fontId="4" fillId="2" borderId="7" xfId="3" applyFont="1" applyFill="1" applyBorder="1"/>
    <xf numFmtId="0" fontId="4" fillId="2" borderId="8" xfId="3" applyFont="1" applyFill="1" applyBorder="1"/>
    <xf numFmtId="0" fontId="5" fillId="2" borderId="2" xfId="3" applyFont="1" applyFill="1" applyBorder="1" applyAlignment="1">
      <alignment horizontal="center"/>
    </xf>
    <xf numFmtId="165" fontId="6" fillId="2" borderId="0" xfId="2" applyNumberFormat="1" applyFont="1" applyFill="1" applyBorder="1" applyAlignment="1">
      <alignment horizontal="center"/>
    </xf>
    <xf numFmtId="2" fontId="6" fillId="2" borderId="0" xfId="3" applyNumberFormat="1" applyFont="1" applyFill="1" applyAlignment="1">
      <alignment horizontal="center"/>
    </xf>
    <xf numFmtId="2" fontId="6" fillId="2" borderId="0" xfId="4" applyNumberFormat="1" applyFont="1" applyFill="1" applyBorder="1" applyAlignment="1">
      <alignment horizontal="center"/>
    </xf>
    <xf numFmtId="166" fontId="6" fillId="2" borderId="0" xfId="3" applyNumberFormat="1" applyFont="1" applyFill="1" applyAlignment="1">
      <alignment horizontal="left"/>
    </xf>
    <xf numFmtId="44" fontId="6" fillId="2" borderId="0" xfId="3" applyNumberFormat="1" applyFont="1" applyFill="1" applyAlignment="1">
      <alignment horizontal="left"/>
    </xf>
    <xf numFmtId="164" fontId="6" fillId="2" borderId="0" xfId="3" applyNumberFormat="1" applyFont="1" applyFill="1" applyAlignment="1">
      <alignment horizontal="left"/>
    </xf>
    <xf numFmtId="10" fontId="6" fillId="2" borderId="0" xfId="4" applyNumberFormat="1" applyFont="1" applyFill="1" applyBorder="1" applyAlignment="1">
      <alignment horizontal="left"/>
    </xf>
    <xf numFmtId="10" fontId="6" fillId="2" borderId="9" xfId="4" applyNumberFormat="1" applyFont="1" applyFill="1" applyBorder="1" applyAlignment="1">
      <alignment horizontal="left"/>
    </xf>
    <xf numFmtId="2" fontId="6" fillId="2" borderId="9" xfId="4" applyNumberFormat="1" applyFont="1" applyFill="1" applyBorder="1" applyAlignment="1">
      <alignment horizontal="center"/>
    </xf>
    <xf numFmtId="10" fontId="7" fillId="2" borderId="0" xfId="4" applyNumberFormat="1" applyFont="1" applyFill="1" applyBorder="1" applyAlignment="1">
      <alignment horizontal="left"/>
    </xf>
    <xf numFmtId="2" fontId="7" fillId="2" borderId="0" xfId="4" applyNumberFormat="1" applyFont="1" applyFill="1" applyBorder="1" applyAlignment="1">
      <alignment horizontal="center"/>
    </xf>
    <xf numFmtId="0" fontId="5" fillId="3" borderId="0" xfId="3" applyFont="1" applyFill="1" applyAlignment="1">
      <alignment horizontal="center"/>
    </xf>
    <xf numFmtId="3" fontId="6" fillId="3" borderId="0" xfId="3" applyNumberFormat="1" applyFont="1" applyFill="1" applyAlignment="1">
      <alignment horizontal="center"/>
    </xf>
    <xf numFmtId="0" fontId="5" fillId="2" borderId="2" xfId="3" applyFont="1" applyFill="1" applyBorder="1" applyAlignment="1">
      <alignment horizontal="center" wrapText="1"/>
    </xf>
    <xf numFmtId="0" fontId="8" fillId="3" borderId="2" xfId="3" applyFont="1" applyFill="1" applyBorder="1" applyAlignment="1">
      <alignment horizontal="center" wrapText="1"/>
    </xf>
    <xf numFmtId="3" fontId="9" fillId="3" borderId="0" xfId="3" applyNumberFormat="1" applyFont="1" applyFill="1" applyAlignment="1">
      <alignment horizontal="center"/>
    </xf>
    <xf numFmtId="3" fontId="10" fillId="3" borderId="0" xfId="3" applyNumberFormat="1" applyFont="1" applyFill="1" applyAlignment="1">
      <alignment horizontal="center"/>
    </xf>
    <xf numFmtId="3" fontId="11" fillId="3" borderId="0" xfId="3" applyNumberFormat="1" applyFont="1" applyFill="1" applyAlignment="1">
      <alignment horizontal="center"/>
    </xf>
    <xf numFmtId="10" fontId="6" fillId="3" borderId="0" xfId="3" applyNumberFormat="1" applyFont="1" applyFill="1" applyAlignment="1">
      <alignment horizontal="center"/>
    </xf>
    <xf numFmtId="10" fontId="9" fillId="3" borderId="0" xfId="3" applyNumberFormat="1" applyFont="1" applyFill="1" applyAlignment="1">
      <alignment horizontal="center"/>
    </xf>
  </cellXfs>
  <cellStyles count="5">
    <cellStyle name="Comma" xfId="1" builtinId="3"/>
    <cellStyle name="Normal" xfId="0" builtinId="0"/>
    <cellStyle name="Normal 2" xfId="3" xr:uid="{00000000-0005-0000-0000-000002000000}"/>
    <cellStyle name="Percent" xfId="2" builtinId="5"/>
    <cellStyle name="Percent 2" xfId="4" xr:uid="{00000000-0005-0000-0000-000004000000}"/>
  </cellStyles>
  <dxfs count="0"/>
  <tableStyles count="0" defaultTableStyle="TableStyleMedium2" defaultPivotStyle="PivotStyleLight16"/>
  <colors>
    <mruColors>
      <color rgb="FF2512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24"/>
  <sheetViews>
    <sheetView tabSelected="1" zoomScale="80" zoomScaleNormal="80" workbookViewId="0">
      <selection activeCell="J23" sqref="J23"/>
    </sheetView>
  </sheetViews>
  <sheetFormatPr baseColWidth="10" defaultColWidth="9.1640625" defaultRowHeight="16" x14ac:dyDescent="0.2"/>
  <cols>
    <col min="1" max="1" width="9.1640625" style="1"/>
    <col min="2" max="2" width="3.1640625" style="1" customWidth="1"/>
    <col min="3" max="3" width="29.1640625" style="1" bestFit="1" customWidth="1"/>
    <col min="4" max="4" width="20.1640625" style="2" bestFit="1" customWidth="1"/>
    <col min="5" max="5" width="2.33203125" style="1" customWidth="1"/>
    <col min="6" max="6" width="20.5" style="1" customWidth="1"/>
    <col min="7" max="7" width="11.33203125" style="1" customWidth="1"/>
    <col min="8" max="8" width="18.83203125" style="1" customWidth="1"/>
    <col min="9" max="9" width="16.33203125" style="1" customWidth="1"/>
    <col min="10" max="10" width="20.6640625" style="1" bestFit="1" customWidth="1"/>
    <col min="11" max="11" width="21.83203125" style="1" bestFit="1" customWidth="1"/>
    <col min="12" max="12" width="8.83203125" style="1" bestFit="1" customWidth="1"/>
    <col min="13" max="13" width="12.5" style="1" customWidth="1"/>
    <col min="14" max="14" width="15.5" style="1" customWidth="1"/>
    <col min="15" max="15" width="17.6640625" style="1" bestFit="1" customWidth="1"/>
    <col min="16" max="16384" width="9.1640625" style="1"/>
  </cols>
  <sheetData>
    <row r="1" spans="2:16" ht="17" thickBot="1" x14ac:dyDescent="0.25">
      <c r="C1" s="3"/>
      <c r="E1" s="2"/>
      <c r="F1" s="2"/>
    </row>
    <row r="2" spans="2:16" x14ac:dyDescent="0.2">
      <c r="B2" s="4"/>
      <c r="C2" s="23" t="s">
        <v>0</v>
      </c>
      <c r="D2" s="23" t="s">
        <v>1</v>
      </c>
      <c r="E2" s="23"/>
      <c r="F2" s="23" t="s">
        <v>2</v>
      </c>
      <c r="G2" s="23" t="s">
        <v>3</v>
      </c>
      <c r="H2" s="5"/>
      <c r="I2" s="2"/>
      <c r="J2" s="13" t="s">
        <v>24</v>
      </c>
      <c r="K2" s="41">
        <f>D11*D13</f>
        <v>43483000000</v>
      </c>
    </row>
    <row r="3" spans="2:16" x14ac:dyDescent="0.2">
      <c r="B3" s="6"/>
      <c r="C3" s="7"/>
      <c r="D3" s="7"/>
      <c r="E3" s="7"/>
      <c r="F3" s="7"/>
      <c r="G3" s="7"/>
      <c r="H3" s="8"/>
      <c r="I3" s="2"/>
      <c r="J3" s="13" t="s">
        <v>25</v>
      </c>
      <c r="K3" s="41">
        <f>I27</f>
        <v>4716406900</v>
      </c>
    </row>
    <row r="4" spans="2:16" x14ac:dyDescent="0.2">
      <c r="B4" s="6"/>
      <c r="C4" s="9">
        <v>46092</v>
      </c>
      <c r="D4" s="10">
        <v>920000000</v>
      </c>
      <c r="E4" s="10"/>
      <c r="F4" s="25">
        <v>98.8</v>
      </c>
      <c r="G4" s="24">
        <v>3.4669999999999999E-2</v>
      </c>
      <c r="H4" s="8"/>
      <c r="I4" s="2"/>
      <c r="J4" s="13" t="s">
        <v>26</v>
      </c>
      <c r="K4" s="24">
        <f>D15+(D14*D16)</f>
        <v>9.8600000000000007E-2</v>
      </c>
    </row>
    <row r="5" spans="2:16" x14ac:dyDescent="0.2">
      <c r="B5" s="6"/>
      <c r="C5" s="9">
        <v>47178</v>
      </c>
      <c r="D5" s="10">
        <v>1380000000</v>
      </c>
      <c r="E5" s="10"/>
      <c r="F5" s="25">
        <v>95.662999999999997</v>
      </c>
      <c r="G5" s="24">
        <v>3.159E-2</v>
      </c>
      <c r="H5" s="8"/>
      <c r="I5" s="2"/>
      <c r="J5" s="13" t="s">
        <v>27</v>
      </c>
      <c r="K5" s="24">
        <f>K27</f>
        <v>4.7919967718646157E-2</v>
      </c>
    </row>
    <row r="6" spans="2:16" x14ac:dyDescent="0.2">
      <c r="B6" s="6"/>
      <c r="C6" s="9">
        <v>47557</v>
      </c>
      <c r="D6" s="10">
        <v>977500000</v>
      </c>
      <c r="E6" s="10"/>
      <c r="F6" s="25">
        <v>98.9</v>
      </c>
      <c r="G6" s="24">
        <v>2.7140000000000001E-2</v>
      </c>
      <c r="H6" s="8"/>
      <c r="I6" s="2"/>
      <c r="J6" s="13" t="s">
        <v>28</v>
      </c>
      <c r="K6" s="24">
        <f>K2/(K2+K3)</f>
        <v>0.90214803037337787</v>
      </c>
    </row>
    <row r="7" spans="2:16" x14ac:dyDescent="0.2">
      <c r="B7" s="6"/>
      <c r="C7" s="9">
        <v>45884</v>
      </c>
      <c r="D7" s="10">
        <v>1800000000</v>
      </c>
      <c r="E7" s="10"/>
      <c r="F7" s="25">
        <v>84.474999999999994</v>
      </c>
      <c r="G7" s="24">
        <v>8.3229999999999998E-2</v>
      </c>
      <c r="H7" s="8"/>
      <c r="I7" s="2"/>
      <c r="J7" s="13" t="s">
        <v>29</v>
      </c>
      <c r="K7" s="24">
        <f>1-K6</f>
        <v>9.7851969626622126E-2</v>
      </c>
    </row>
    <row r="8" spans="2:16" ht="17" thickBot="1" x14ac:dyDescent="0.25">
      <c r="B8" s="6"/>
      <c r="C8" s="9"/>
      <c r="D8" s="10"/>
      <c r="E8" s="10"/>
      <c r="F8" s="11"/>
      <c r="G8" s="12"/>
      <c r="H8" s="8"/>
      <c r="I8" s="2"/>
      <c r="J8" s="13" t="str">
        <f>C17</f>
        <v>Tax rate</v>
      </c>
      <c r="K8" s="19">
        <f>D17</f>
        <v>0.35</v>
      </c>
    </row>
    <row r="9" spans="2:16" x14ac:dyDescent="0.2">
      <c r="B9" s="6"/>
      <c r="C9" s="13" t="s">
        <v>4</v>
      </c>
      <c r="D9" s="10">
        <v>5077500000</v>
      </c>
      <c r="E9" s="10"/>
      <c r="F9" s="23" t="s">
        <v>11</v>
      </c>
      <c r="G9" s="23" t="s">
        <v>7</v>
      </c>
      <c r="H9" s="8"/>
      <c r="I9" s="2"/>
    </row>
    <row r="10" spans="2:16" x14ac:dyDescent="0.2">
      <c r="B10" s="6"/>
      <c r="C10" s="13" t="s">
        <v>5</v>
      </c>
      <c r="D10" s="14">
        <v>15</v>
      </c>
      <c r="E10" s="14"/>
      <c r="F10" s="27" t="s">
        <v>12</v>
      </c>
      <c r="G10" s="25">
        <v>0.97</v>
      </c>
      <c r="H10" s="8"/>
      <c r="I10" s="2"/>
      <c r="J10" s="1" t="s">
        <v>32</v>
      </c>
      <c r="K10" s="24">
        <f>(K4*K6)+(K5*K7*(1-K8))</f>
        <v>9.1999686891528945E-2</v>
      </c>
    </row>
    <row r="11" spans="2:16" x14ac:dyDescent="0.2">
      <c r="B11" s="6"/>
      <c r="C11" s="13" t="s">
        <v>21</v>
      </c>
      <c r="D11" s="15">
        <v>335</v>
      </c>
      <c r="E11" s="15"/>
      <c r="F11" s="28" t="s">
        <v>13</v>
      </c>
      <c r="G11" s="25">
        <v>1.44</v>
      </c>
      <c r="H11" s="8"/>
      <c r="I11" s="2"/>
    </row>
    <row r="12" spans="2:16" x14ac:dyDescent="0.2">
      <c r="B12" s="6"/>
      <c r="C12" s="13"/>
      <c r="D12" s="15"/>
      <c r="E12" s="15"/>
      <c r="F12" s="28" t="s">
        <v>14</v>
      </c>
      <c r="G12" s="25">
        <v>0.74</v>
      </c>
      <c r="H12" s="8"/>
      <c r="I12" s="2"/>
      <c r="P12" s="17"/>
    </row>
    <row r="13" spans="2:16" x14ac:dyDescent="0.2">
      <c r="B13" s="6"/>
      <c r="C13" s="13" t="s">
        <v>6</v>
      </c>
      <c r="D13" s="16">
        <v>129800000</v>
      </c>
      <c r="E13" s="16"/>
      <c r="F13" s="28" t="s">
        <v>15</v>
      </c>
      <c r="G13" s="25">
        <v>0.54</v>
      </c>
      <c r="H13" s="8"/>
      <c r="I13" s="2"/>
    </row>
    <row r="14" spans="2:16" x14ac:dyDescent="0.2">
      <c r="B14" s="6"/>
      <c r="C14" s="13" t="s">
        <v>20</v>
      </c>
      <c r="D14" s="11">
        <v>1.4</v>
      </c>
      <c r="E14" s="11"/>
      <c r="F14" s="29" t="s">
        <v>16</v>
      </c>
      <c r="G14" s="25">
        <v>0.49</v>
      </c>
      <c r="H14" s="8"/>
      <c r="I14" s="2"/>
    </row>
    <row r="15" spans="2:16" ht="15" customHeight="1" x14ac:dyDescent="0.2">
      <c r="B15" s="6"/>
      <c r="C15" s="13" t="s">
        <v>8</v>
      </c>
      <c r="D15" s="18">
        <v>5.9999999999999995E-4</v>
      </c>
      <c r="E15" s="18"/>
      <c r="F15" s="30" t="s">
        <v>17</v>
      </c>
      <c r="G15" s="26">
        <v>1.97</v>
      </c>
      <c r="H15" s="8"/>
      <c r="I15" s="2"/>
    </row>
    <row r="16" spans="2:16" ht="15" customHeight="1" x14ac:dyDescent="0.2">
      <c r="B16" s="6"/>
      <c r="C16" s="13" t="s">
        <v>9</v>
      </c>
      <c r="D16" s="18">
        <v>7.0000000000000007E-2</v>
      </c>
      <c r="E16" s="18"/>
      <c r="F16" s="31" t="s">
        <v>18</v>
      </c>
      <c r="G16" s="32">
        <v>1.55</v>
      </c>
      <c r="H16" s="8"/>
      <c r="I16" s="2"/>
    </row>
    <row r="17" spans="1:12" x14ac:dyDescent="0.2">
      <c r="B17" s="6"/>
      <c r="C17" s="13" t="s">
        <v>10</v>
      </c>
      <c r="D17" s="19">
        <v>0.35</v>
      </c>
      <c r="E17" s="19"/>
      <c r="F17" s="33" t="s">
        <v>19</v>
      </c>
      <c r="G17" s="34">
        <f>AVERAGE(G10:G16)</f>
        <v>1.1000000000000001</v>
      </c>
      <c r="H17" s="8"/>
      <c r="I17" s="2"/>
    </row>
    <row r="18" spans="1:12" ht="17" thickBot="1" x14ac:dyDescent="0.25">
      <c r="B18" s="20"/>
      <c r="C18" s="21"/>
      <c r="D18" s="21"/>
      <c r="E18" s="21"/>
      <c r="F18" s="21"/>
      <c r="G18" s="21"/>
      <c r="H18" s="22"/>
    </row>
    <row r="19" spans="1:12" ht="15" x14ac:dyDescent="0.2">
      <c r="A19"/>
      <c r="B19"/>
      <c r="C19"/>
      <c r="D19"/>
      <c r="E19"/>
      <c r="F19"/>
      <c r="G19"/>
      <c r="H19"/>
      <c r="I19"/>
      <c r="J19"/>
      <c r="K19"/>
      <c r="L19"/>
    </row>
    <row r="20" spans="1:12" thickBot="1" x14ac:dyDescent="0.25">
      <c r="A20"/>
      <c r="B20"/>
      <c r="C20"/>
      <c r="D20"/>
      <c r="E20"/>
      <c r="F20"/>
      <c r="G20"/>
      <c r="H20"/>
      <c r="I20"/>
      <c r="J20"/>
      <c r="K20"/>
      <c r="L20"/>
    </row>
    <row r="21" spans="1:12" ht="27.5" customHeight="1" x14ac:dyDescent="0.2">
      <c r="A21"/>
      <c r="B21"/>
      <c r="C21" s="37" t="str">
        <f>C2</f>
        <v>Bond maturity</v>
      </c>
      <c r="D21" s="37" t="str">
        <f t="shared" ref="D21:G21" si="0">D2</f>
        <v>Book value</v>
      </c>
      <c r="E21" s="37"/>
      <c r="F21" s="37" t="str">
        <f t="shared" si="0"/>
        <v>Price</v>
      </c>
      <c r="G21" s="37" t="str">
        <f t="shared" si="0"/>
        <v>YTM</v>
      </c>
      <c r="H21" s="38" t="s">
        <v>22</v>
      </c>
      <c r="I21" s="38" t="s">
        <v>23</v>
      </c>
      <c r="J21" s="38" t="s">
        <v>30</v>
      </c>
      <c r="K21" s="38" t="s">
        <v>31</v>
      </c>
      <c r="L21"/>
    </row>
    <row r="22" spans="1:12" x14ac:dyDescent="0.2">
      <c r="A22"/>
      <c r="B22"/>
      <c r="C22" s="7"/>
      <c r="D22" s="7"/>
      <c r="E22" s="7"/>
      <c r="F22" s="7"/>
      <c r="G22" s="7"/>
      <c r="H22" s="35"/>
      <c r="I22" s="35"/>
      <c r="J22" s="35"/>
      <c r="K22" s="35"/>
      <c r="L22"/>
    </row>
    <row r="23" spans="1:12" x14ac:dyDescent="0.2">
      <c r="A23"/>
      <c r="B23"/>
      <c r="C23" s="9">
        <f t="shared" ref="C23:G26" si="1">C4</f>
        <v>46092</v>
      </c>
      <c r="D23" s="10">
        <f t="shared" si="1"/>
        <v>920000000</v>
      </c>
      <c r="E23" s="10"/>
      <c r="F23" s="25">
        <f t="shared" si="1"/>
        <v>98.8</v>
      </c>
      <c r="G23" s="24">
        <f t="shared" si="1"/>
        <v>3.4669999999999999E-2</v>
      </c>
      <c r="H23" s="36">
        <f>D23/100</f>
        <v>9200000</v>
      </c>
      <c r="I23" s="36">
        <f>H23*F23</f>
        <v>908960000</v>
      </c>
      <c r="J23" s="42">
        <f>I23/$I$27</f>
        <v>0.19272298155615031</v>
      </c>
      <c r="K23" s="42">
        <f>J23*G23</f>
        <v>6.6817057705517314E-3</v>
      </c>
      <c r="L23"/>
    </row>
    <row r="24" spans="1:12" x14ac:dyDescent="0.2">
      <c r="A24"/>
      <c r="B24"/>
      <c r="C24" s="9">
        <f t="shared" si="1"/>
        <v>47178</v>
      </c>
      <c r="D24" s="10">
        <f t="shared" si="1"/>
        <v>1380000000</v>
      </c>
      <c r="E24" s="10"/>
      <c r="F24" s="25">
        <f t="shared" si="1"/>
        <v>95.662999999999997</v>
      </c>
      <c r="G24" s="24">
        <f t="shared" si="1"/>
        <v>3.159E-2</v>
      </c>
      <c r="H24" s="36">
        <f t="shared" ref="H24:H26" si="2">D24/100</f>
        <v>13800000</v>
      </c>
      <c r="I24" s="36">
        <f t="shared" ref="I24:I26" si="3">H24*F24</f>
        <v>1320149400</v>
      </c>
      <c r="J24" s="42">
        <f t="shared" ref="J24:J26" si="4">I24/$I$27</f>
        <v>0.279905747741994</v>
      </c>
      <c r="K24" s="42">
        <f t="shared" ref="K24:K26" si="5">J24*G24</f>
        <v>8.8422225711695911E-3</v>
      </c>
      <c r="L24"/>
    </row>
    <row r="25" spans="1:12" x14ac:dyDescent="0.2">
      <c r="A25"/>
      <c r="B25"/>
      <c r="C25" s="9">
        <f t="shared" si="1"/>
        <v>47557</v>
      </c>
      <c r="D25" s="10">
        <f t="shared" si="1"/>
        <v>977500000</v>
      </c>
      <c r="E25" s="10"/>
      <c r="F25" s="25">
        <f t="shared" si="1"/>
        <v>98.9</v>
      </c>
      <c r="G25" s="24">
        <f t="shared" si="1"/>
        <v>2.7140000000000001E-2</v>
      </c>
      <c r="H25" s="36">
        <f t="shared" si="2"/>
        <v>9775000</v>
      </c>
      <c r="I25" s="36">
        <f t="shared" si="3"/>
        <v>966747500</v>
      </c>
      <c r="J25" s="42">
        <f t="shared" si="4"/>
        <v>0.20497542313408115</v>
      </c>
      <c r="K25" s="42">
        <f t="shared" si="5"/>
        <v>5.5630329838589629E-3</v>
      </c>
      <c r="L25"/>
    </row>
    <row r="26" spans="1:12" ht="19" x14ac:dyDescent="0.35">
      <c r="A26"/>
      <c r="B26"/>
      <c r="C26" s="9">
        <f t="shared" si="1"/>
        <v>45884</v>
      </c>
      <c r="D26" s="10">
        <f t="shared" si="1"/>
        <v>1800000000</v>
      </c>
      <c r="E26" s="10"/>
      <c r="F26" s="25">
        <f t="shared" si="1"/>
        <v>84.474999999999994</v>
      </c>
      <c r="G26" s="24">
        <f t="shared" si="1"/>
        <v>8.3229999999999998E-2</v>
      </c>
      <c r="H26" s="36">
        <f t="shared" si="2"/>
        <v>18000000</v>
      </c>
      <c r="I26" s="39">
        <f t="shared" si="3"/>
        <v>1520550000</v>
      </c>
      <c r="J26" s="42">
        <f t="shared" si="4"/>
        <v>0.32239584756777451</v>
      </c>
      <c r="K26" s="43">
        <f t="shared" si="5"/>
        <v>2.6833006393065871E-2</v>
      </c>
      <c r="L26"/>
    </row>
    <row r="27" spans="1:12" ht="19" x14ac:dyDescent="0.35">
      <c r="A27"/>
      <c r="B27"/>
      <c r="C27"/>
      <c r="D27"/>
      <c r="E27"/>
      <c r="F27"/>
      <c r="G27"/>
      <c r="H27"/>
      <c r="I27" s="40">
        <f>SUM(I23:I26)</f>
        <v>4716406900</v>
      </c>
      <c r="J27" s="40">
        <f>SUM(J23:J26)</f>
        <v>1</v>
      </c>
      <c r="K27" s="42">
        <f>SUM(K23:K26)</f>
        <v>4.7919967718646157E-2</v>
      </c>
      <c r="L27"/>
    </row>
    <row r="28" spans="1:12" ht="15" x14ac:dyDescent="0.2">
      <c r="A28"/>
      <c r="B28"/>
      <c r="C28"/>
      <c r="D28"/>
      <c r="E28"/>
      <c r="F28"/>
      <c r="G28"/>
      <c r="H28"/>
      <c r="I28"/>
      <c r="J28"/>
      <c r="K28"/>
      <c r="L28"/>
    </row>
    <row r="29" spans="1:12" ht="15" x14ac:dyDescent="0.2">
      <c r="A29"/>
      <c r="B29"/>
      <c r="C29"/>
      <c r="D29"/>
      <c r="E29"/>
      <c r="F29"/>
      <c r="G29"/>
      <c r="H29"/>
      <c r="I29"/>
      <c r="J29"/>
      <c r="K29"/>
      <c r="L29"/>
    </row>
    <row r="30" spans="1:12" ht="15" x14ac:dyDescent="0.2">
      <c r="A30"/>
      <c r="B30"/>
      <c r="C30"/>
      <c r="D30"/>
      <c r="E30"/>
      <c r="F30"/>
      <c r="G30"/>
      <c r="H30"/>
      <c r="I30"/>
      <c r="J30"/>
      <c r="K30"/>
      <c r="L30"/>
    </row>
    <row r="31" spans="1:12" ht="15" x14ac:dyDescent="0.2">
      <c r="A31"/>
      <c r="B31"/>
      <c r="C31"/>
      <c r="D31"/>
      <c r="E31"/>
      <c r="F31"/>
      <c r="G31"/>
      <c r="H31"/>
      <c r="I31"/>
      <c r="J31"/>
      <c r="K31"/>
      <c r="L31"/>
    </row>
    <row r="32" spans="1:12" ht="15" x14ac:dyDescent="0.2">
      <c r="A32"/>
      <c r="B32"/>
      <c r="C32"/>
      <c r="D32"/>
      <c r="E32"/>
      <c r="F32"/>
      <c r="G32"/>
      <c r="H32"/>
      <c r="I32"/>
      <c r="J32"/>
      <c r="K32"/>
      <c r="L32"/>
    </row>
    <row r="33" spans="1:12" ht="15" x14ac:dyDescent="0.2">
      <c r="A33"/>
      <c r="B33"/>
      <c r="C33"/>
      <c r="D33"/>
      <c r="E33"/>
      <c r="F33"/>
      <c r="G33"/>
      <c r="H33"/>
      <c r="I33"/>
      <c r="J33"/>
      <c r="K33"/>
      <c r="L33"/>
    </row>
    <row r="34" spans="1:12" ht="15" x14ac:dyDescent="0.2">
      <c r="A34"/>
      <c r="B34"/>
      <c r="C34"/>
      <c r="D34"/>
      <c r="E34"/>
      <c r="F34"/>
      <c r="G34"/>
      <c r="H34"/>
      <c r="I34"/>
      <c r="J34"/>
      <c r="K34"/>
      <c r="L34"/>
    </row>
    <row r="35" spans="1:12" ht="15" x14ac:dyDescent="0.2">
      <c r="A35"/>
      <c r="B35"/>
      <c r="C35"/>
      <c r="D35"/>
      <c r="E35"/>
      <c r="F35"/>
      <c r="G35"/>
      <c r="H35"/>
      <c r="I35"/>
      <c r="J35"/>
      <c r="K35"/>
      <c r="L35"/>
    </row>
    <row r="36" spans="1:12" ht="15" x14ac:dyDescent="0.2">
      <c r="A36"/>
      <c r="B36"/>
      <c r="C36"/>
      <c r="D36"/>
      <c r="E36"/>
      <c r="F36"/>
      <c r="G36"/>
      <c r="H36"/>
      <c r="I36"/>
      <c r="J36"/>
      <c r="K36"/>
      <c r="L36"/>
    </row>
    <row r="37" spans="1:12" ht="15" x14ac:dyDescent="0.2">
      <c r="A37"/>
      <c r="B37"/>
      <c r="C37"/>
      <c r="D37"/>
      <c r="E37"/>
      <c r="F37"/>
      <c r="G37"/>
      <c r="H37"/>
      <c r="I37"/>
      <c r="J37"/>
      <c r="K37"/>
      <c r="L37"/>
    </row>
    <row r="38" spans="1:12" ht="15" x14ac:dyDescent="0.2">
      <c r="A38"/>
      <c r="B38"/>
      <c r="C38"/>
      <c r="D38"/>
      <c r="E38"/>
      <c r="F38"/>
      <c r="G38"/>
      <c r="H38"/>
      <c r="I38"/>
      <c r="J38"/>
      <c r="K38"/>
      <c r="L38"/>
    </row>
    <row r="39" spans="1:12" ht="15" x14ac:dyDescent="0.2">
      <c r="A39"/>
      <c r="B39"/>
      <c r="C39"/>
      <c r="D39"/>
      <c r="E39"/>
      <c r="F39"/>
      <c r="G39"/>
      <c r="H39"/>
      <c r="I39"/>
      <c r="J39"/>
      <c r="K39"/>
      <c r="L39"/>
    </row>
    <row r="40" spans="1:12" ht="15" x14ac:dyDescent="0.2">
      <c r="A40"/>
      <c r="B40"/>
      <c r="C40"/>
      <c r="D40"/>
      <c r="E40"/>
      <c r="F40"/>
      <c r="G40"/>
      <c r="H40"/>
      <c r="I40"/>
      <c r="J40"/>
      <c r="K40"/>
      <c r="L40"/>
    </row>
    <row r="41" spans="1:12" ht="15" x14ac:dyDescent="0.2">
      <c r="A41"/>
      <c r="B41"/>
      <c r="C41"/>
      <c r="D41"/>
      <c r="E41"/>
      <c r="F41"/>
      <c r="G41"/>
      <c r="H41"/>
      <c r="I41"/>
      <c r="J41"/>
      <c r="K41"/>
      <c r="L41"/>
    </row>
    <row r="42" spans="1:12" ht="15" x14ac:dyDescent="0.2">
      <c r="A42"/>
      <c r="B42"/>
      <c r="C42"/>
      <c r="D42"/>
      <c r="E42"/>
      <c r="F42"/>
      <c r="G42"/>
      <c r="H42"/>
      <c r="I42"/>
      <c r="J42"/>
      <c r="K42"/>
      <c r="L42"/>
    </row>
    <row r="43" spans="1:12" ht="15" x14ac:dyDescent="0.2">
      <c r="A43"/>
      <c r="B43"/>
      <c r="C43"/>
      <c r="D43"/>
      <c r="E43"/>
      <c r="F43"/>
      <c r="G43"/>
      <c r="H43"/>
      <c r="I43"/>
      <c r="J43"/>
      <c r="K43"/>
      <c r="L43"/>
    </row>
    <row r="44" spans="1:12" ht="15" x14ac:dyDescent="0.2">
      <c r="A44"/>
      <c r="B44"/>
      <c r="C44"/>
      <c r="D44"/>
      <c r="E44"/>
      <c r="F44"/>
      <c r="G44"/>
      <c r="H44"/>
      <c r="I44"/>
      <c r="J44"/>
      <c r="K44"/>
      <c r="L44"/>
    </row>
    <row r="45" spans="1:12" ht="15" x14ac:dyDescent="0.2">
      <c r="A45"/>
      <c r="B45"/>
      <c r="C45"/>
      <c r="D45"/>
      <c r="E45"/>
      <c r="F45"/>
      <c r="G45"/>
      <c r="H45"/>
      <c r="I45"/>
      <c r="J45"/>
      <c r="K45"/>
      <c r="L45"/>
    </row>
    <row r="46" spans="1:12" ht="15" x14ac:dyDescent="0.2">
      <c r="A46"/>
      <c r="B46"/>
      <c r="C46"/>
      <c r="D46"/>
      <c r="E46"/>
      <c r="F46"/>
      <c r="G46"/>
      <c r="H46"/>
      <c r="I46"/>
      <c r="J46"/>
      <c r="K46"/>
      <c r="L46"/>
    </row>
    <row r="47" spans="1:12" ht="15" x14ac:dyDescent="0.2">
      <c r="A47"/>
      <c r="B47"/>
      <c r="C47"/>
      <c r="D47"/>
      <c r="E47"/>
      <c r="F47"/>
      <c r="G47"/>
      <c r="H47"/>
      <c r="I47"/>
      <c r="J47"/>
      <c r="K47"/>
      <c r="L47"/>
    </row>
    <row r="48" spans="1:12" ht="15" x14ac:dyDescent="0.2">
      <c r="A48"/>
      <c r="B48"/>
      <c r="C48"/>
      <c r="D48"/>
      <c r="E48"/>
      <c r="F48"/>
      <c r="G48"/>
      <c r="H48"/>
      <c r="I48"/>
      <c r="J48"/>
      <c r="K48"/>
      <c r="L48"/>
    </row>
    <row r="49" spans="1:12" ht="15" x14ac:dyDescent="0.2">
      <c r="A49"/>
      <c r="B49"/>
      <c r="C49"/>
      <c r="D49"/>
      <c r="E49"/>
      <c r="F49"/>
      <c r="G49"/>
      <c r="H49"/>
      <c r="I49"/>
      <c r="J49"/>
      <c r="K49"/>
      <c r="L49"/>
    </row>
    <row r="50" spans="1:12" ht="15" x14ac:dyDescent="0.2">
      <c r="A50"/>
      <c r="B50"/>
      <c r="C50"/>
      <c r="D50"/>
      <c r="E50"/>
      <c r="F50"/>
      <c r="G50"/>
      <c r="H50"/>
      <c r="I50"/>
      <c r="J50"/>
      <c r="K50"/>
      <c r="L50"/>
    </row>
    <row r="51" spans="1:12" ht="15" x14ac:dyDescent="0.2">
      <c r="A51"/>
      <c r="B51"/>
      <c r="C51"/>
      <c r="D51"/>
      <c r="E51"/>
      <c r="F51"/>
      <c r="G51"/>
      <c r="H51"/>
      <c r="I51"/>
      <c r="J51"/>
      <c r="K51"/>
      <c r="L51"/>
    </row>
    <row r="52" spans="1:12" ht="15" x14ac:dyDescent="0.2">
      <c r="A52"/>
      <c r="B52"/>
      <c r="C52"/>
      <c r="D52"/>
      <c r="E52"/>
      <c r="F52"/>
      <c r="G52"/>
      <c r="H52"/>
      <c r="I52"/>
      <c r="J52"/>
      <c r="K52"/>
      <c r="L52"/>
    </row>
    <row r="53" spans="1:12" ht="15" x14ac:dyDescent="0.2">
      <c r="A53"/>
      <c r="B53"/>
      <c r="C53"/>
      <c r="D53"/>
      <c r="E53"/>
      <c r="F53"/>
      <c r="G53"/>
      <c r="H53"/>
      <c r="I53"/>
      <c r="J53"/>
      <c r="K53"/>
      <c r="L53"/>
    </row>
    <row r="54" spans="1:12" ht="15" x14ac:dyDescent="0.2">
      <c r="A54"/>
      <c r="B54"/>
      <c r="C54"/>
      <c r="D54"/>
      <c r="E54"/>
      <c r="F54"/>
      <c r="G54"/>
      <c r="H54"/>
      <c r="I54"/>
      <c r="J54"/>
      <c r="K54"/>
      <c r="L54"/>
    </row>
    <row r="55" spans="1:12" ht="15" x14ac:dyDescent="0.2">
      <c r="A55"/>
      <c r="B55"/>
      <c r="C55"/>
      <c r="D55"/>
      <c r="E55"/>
      <c r="F55"/>
      <c r="G55"/>
      <c r="H55"/>
      <c r="I55"/>
      <c r="J55"/>
      <c r="K55"/>
      <c r="L55"/>
    </row>
    <row r="56" spans="1:12" ht="15" x14ac:dyDescent="0.2">
      <c r="A56"/>
      <c r="B56"/>
      <c r="C56"/>
      <c r="D56"/>
      <c r="E56"/>
      <c r="F56"/>
      <c r="G56"/>
      <c r="H56"/>
      <c r="I56"/>
      <c r="J56"/>
      <c r="K56"/>
      <c r="L56"/>
    </row>
    <row r="57" spans="1:12" ht="15" x14ac:dyDescent="0.2">
      <c r="A57"/>
      <c r="B57"/>
      <c r="C57"/>
      <c r="D57"/>
      <c r="E57"/>
      <c r="F57"/>
      <c r="G57"/>
      <c r="H57"/>
      <c r="I57"/>
      <c r="J57"/>
      <c r="K57"/>
      <c r="L57"/>
    </row>
    <row r="58" spans="1:12" ht="15" x14ac:dyDescent="0.2">
      <c r="A58"/>
      <c r="B58"/>
      <c r="C58"/>
      <c r="D58"/>
      <c r="E58"/>
      <c r="F58"/>
      <c r="G58"/>
      <c r="H58"/>
      <c r="I58"/>
      <c r="J58"/>
      <c r="K58"/>
      <c r="L58"/>
    </row>
    <row r="59" spans="1:12" ht="15" x14ac:dyDescent="0.2">
      <c r="A59"/>
      <c r="B59"/>
      <c r="C59"/>
      <c r="D59"/>
      <c r="E59"/>
      <c r="F59"/>
      <c r="G59"/>
      <c r="H59"/>
      <c r="I59"/>
      <c r="J59"/>
      <c r="K59"/>
      <c r="L59"/>
    </row>
    <row r="60" spans="1:12" ht="15" x14ac:dyDescent="0.2">
      <c r="A60"/>
      <c r="B60"/>
      <c r="C60"/>
      <c r="D60"/>
      <c r="E60"/>
      <c r="F60"/>
      <c r="G60"/>
      <c r="H60"/>
      <c r="I60"/>
      <c r="J60"/>
      <c r="K60"/>
      <c r="L60"/>
    </row>
    <row r="61" spans="1:12" ht="15" x14ac:dyDescent="0.2">
      <c r="A61"/>
      <c r="B61"/>
      <c r="C61"/>
      <c r="D61"/>
      <c r="E61"/>
      <c r="F61"/>
      <c r="G61"/>
      <c r="H61"/>
      <c r="I61"/>
      <c r="J61"/>
      <c r="K61"/>
      <c r="L61"/>
    </row>
    <row r="62" spans="1:12" ht="15" x14ac:dyDescent="0.2">
      <c r="A62"/>
      <c r="B62"/>
      <c r="C62"/>
      <c r="D62"/>
      <c r="E62"/>
      <c r="F62"/>
      <c r="G62"/>
      <c r="H62"/>
      <c r="I62"/>
      <c r="J62"/>
      <c r="K62"/>
      <c r="L62"/>
    </row>
    <row r="63" spans="1:12" ht="15" x14ac:dyDescent="0.2">
      <c r="A63"/>
      <c r="B63"/>
      <c r="C63"/>
      <c r="D63"/>
      <c r="E63"/>
      <c r="F63"/>
      <c r="G63"/>
      <c r="H63"/>
      <c r="I63"/>
      <c r="J63"/>
      <c r="K63"/>
      <c r="L63"/>
    </row>
    <row r="64" spans="1:12" ht="15" x14ac:dyDescent="0.2">
      <c r="A64"/>
      <c r="B64"/>
      <c r="C64"/>
      <c r="D64"/>
      <c r="E64"/>
      <c r="F64"/>
      <c r="G64"/>
      <c r="H64"/>
      <c r="I64"/>
      <c r="J64"/>
      <c r="K64"/>
      <c r="L64"/>
    </row>
    <row r="65" spans="1:12" ht="15" x14ac:dyDescent="0.2">
      <c r="A65"/>
      <c r="B65"/>
      <c r="C65"/>
      <c r="D65"/>
      <c r="E65"/>
      <c r="F65"/>
      <c r="G65"/>
      <c r="H65"/>
      <c r="I65"/>
      <c r="J65"/>
      <c r="K65"/>
      <c r="L65"/>
    </row>
    <row r="66" spans="1:12" ht="15" x14ac:dyDescent="0.2">
      <c r="A66"/>
      <c r="B66"/>
      <c r="C66"/>
      <c r="D66"/>
      <c r="E66"/>
      <c r="F66"/>
      <c r="G66"/>
      <c r="H66"/>
      <c r="I66"/>
      <c r="J66"/>
      <c r="K66"/>
      <c r="L66"/>
    </row>
    <row r="67" spans="1:12" ht="15" x14ac:dyDescent="0.2">
      <c r="A67"/>
      <c r="B67"/>
      <c r="C67"/>
      <c r="D67"/>
      <c r="E67"/>
      <c r="F67"/>
      <c r="G67"/>
      <c r="H67"/>
      <c r="I67"/>
      <c r="J67"/>
      <c r="K67"/>
      <c r="L67"/>
    </row>
    <row r="68" spans="1:12" ht="15" x14ac:dyDescent="0.2">
      <c r="A68"/>
      <c r="B68"/>
      <c r="C68"/>
      <c r="D68"/>
      <c r="E68"/>
      <c r="F68"/>
      <c r="G68"/>
      <c r="H68"/>
      <c r="I68"/>
      <c r="J68"/>
      <c r="K68"/>
      <c r="L68"/>
    </row>
    <row r="69" spans="1:12" ht="15" x14ac:dyDescent="0.2">
      <c r="A69"/>
      <c r="B69"/>
      <c r="C69"/>
      <c r="D69"/>
      <c r="E69"/>
      <c r="F69"/>
      <c r="G69"/>
      <c r="H69"/>
      <c r="I69"/>
      <c r="J69"/>
      <c r="K69"/>
      <c r="L69"/>
    </row>
    <row r="70" spans="1:12" ht="15" x14ac:dyDescent="0.2">
      <c r="A70"/>
      <c r="B70"/>
      <c r="C70"/>
      <c r="D70"/>
      <c r="E70"/>
      <c r="F70"/>
      <c r="G70"/>
      <c r="H70"/>
      <c r="I70"/>
      <c r="J70"/>
      <c r="K70"/>
      <c r="L70"/>
    </row>
    <row r="71" spans="1:12" ht="15" x14ac:dyDescent="0.2">
      <c r="A71"/>
      <c r="B71"/>
      <c r="C71"/>
      <c r="D71"/>
      <c r="E71"/>
      <c r="F71"/>
      <c r="G71"/>
      <c r="H71"/>
      <c r="I71"/>
      <c r="J71"/>
      <c r="K71"/>
      <c r="L71"/>
    </row>
    <row r="72" spans="1:12" ht="15" x14ac:dyDescent="0.2">
      <c r="A72"/>
      <c r="B72"/>
      <c r="C72"/>
      <c r="D72"/>
      <c r="E72"/>
      <c r="F72"/>
      <c r="G72"/>
      <c r="H72"/>
      <c r="I72"/>
      <c r="J72"/>
      <c r="K72"/>
      <c r="L72"/>
    </row>
    <row r="73" spans="1:12" ht="15" x14ac:dyDescent="0.2">
      <c r="A73"/>
      <c r="B73"/>
      <c r="C73"/>
      <c r="D73"/>
      <c r="E73"/>
      <c r="F73"/>
      <c r="G73"/>
      <c r="H73"/>
      <c r="I73"/>
      <c r="J73"/>
      <c r="K73"/>
      <c r="L73"/>
    </row>
    <row r="74" spans="1:12" ht="15" x14ac:dyDescent="0.2">
      <c r="A74"/>
      <c r="B74"/>
      <c r="C74"/>
      <c r="D74"/>
      <c r="E74"/>
      <c r="F74"/>
      <c r="G74"/>
      <c r="H74"/>
      <c r="I74"/>
      <c r="J74"/>
      <c r="K74"/>
      <c r="L74"/>
    </row>
    <row r="75" spans="1:12" ht="15" x14ac:dyDescent="0.2">
      <c r="A75"/>
      <c r="B75"/>
      <c r="C75"/>
      <c r="D75"/>
      <c r="E75"/>
      <c r="F75"/>
      <c r="G75"/>
      <c r="H75"/>
      <c r="I75"/>
      <c r="J75"/>
      <c r="K75"/>
      <c r="L75"/>
    </row>
    <row r="76" spans="1:12" ht="15" x14ac:dyDescent="0.2">
      <c r="A76"/>
      <c r="B76"/>
      <c r="C76"/>
      <c r="D76"/>
      <c r="E76"/>
      <c r="F76"/>
      <c r="G76"/>
      <c r="H76"/>
      <c r="I76"/>
      <c r="J76"/>
      <c r="K76"/>
      <c r="L76"/>
    </row>
    <row r="77" spans="1:12" ht="15" x14ac:dyDescent="0.2">
      <c r="A77"/>
      <c r="B77"/>
      <c r="C77"/>
      <c r="D77"/>
      <c r="E77"/>
      <c r="F77"/>
      <c r="G77"/>
      <c r="H77"/>
      <c r="I77"/>
      <c r="J77"/>
      <c r="K77"/>
      <c r="L77"/>
    </row>
    <row r="78" spans="1:12" ht="15" x14ac:dyDescent="0.2">
      <c r="A78"/>
      <c r="B78"/>
      <c r="C78"/>
      <c r="D78"/>
      <c r="E78"/>
      <c r="F78"/>
      <c r="G78"/>
      <c r="H78"/>
      <c r="I78"/>
      <c r="J78"/>
      <c r="K78"/>
      <c r="L78"/>
    </row>
    <row r="79" spans="1:12" ht="15" x14ac:dyDescent="0.2">
      <c r="A79"/>
      <c r="B79"/>
      <c r="C79"/>
      <c r="D79"/>
      <c r="E79"/>
      <c r="F79"/>
      <c r="G79"/>
      <c r="H79"/>
      <c r="I79"/>
      <c r="J79"/>
      <c r="K79"/>
      <c r="L79"/>
    </row>
    <row r="80" spans="1:12" ht="15" x14ac:dyDescent="0.2">
      <c r="A80"/>
      <c r="B80"/>
      <c r="C80"/>
      <c r="D80"/>
      <c r="E80"/>
      <c r="F80"/>
      <c r="G80"/>
      <c r="H80"/>
      <c r="I80"/>
      <c r="J80"/>
      <c r="K80"/>
      <c r="L80"/>
    </row>
    <row r="81" spans="1:12" ht="15" x14ac:dyDescent="0.2">
      <c r="A81"/>
      <c r="B81"/>
      <c r="C81"/>
      <c r="D81"/>
      <c r="E81"/>
      <c r="F81"/>
      <c r="G81"/>
      <c r="H81"/>
      <c r="I81"/>
      <c r="J81"/>
      <c r="K81"/>
      <c r="L81"/>
    </row>
    <row r="82" spans="1:12" ht="15" x14ac:dyDescent="0.2">
      <c r="A82"/>
      <c r="B82"/>
      <c r="C82"/>
      <c r="D82"/>
      <c r="E82"/>
      <c r="F82"/>
      <c r="G82"/>
      <c r="H82"/>
      <c r="I82"/>
      <c r="J82"/>
      <c r="K82"/>
      <c r="L82"/>
    </row>
    <row r="83" spans="1:12" ht="15" x14ac:dyDescent="0.2">
      <c r="A83"/>
      <c r="B83"/>
      <c r="C83"/>
      <c r="D83"/>
      <c r="E83"/>
      <c r="F83"/>
      <c r="G83"/>
      <c r="H83"/>
      <c r="I83"/>
      <c r="J83"/>
      <c r="K83"/>
      <c r="L83"/>
    </row>
    <row r="84" spans="1:12" ht="15" x14ac:dyDescent="0.2">
      <c r="A84"/>
      <c r="B84"/>
      <c r="C84"/>
      <c r="D84"/>
      <c r="E84"/>
      <c r="F84"/>
      <c r="G84"/>
      <c r="H84"/>
      <c r="I84"/>
      <c r="J84"/>
      <c r="K84"/>
      <c r="L84"/>
    </row>
    <row r="85" spans="1:12" ht="15" x14ac:dyDescent="0.2">
      <c r="A85"/>
      <c r="B85"/>
      <c r="C85"/>
      <c r="D85"/>
      <c r="E85"/>
      <c r="F85"/>
      <c r="G85"/>
      <c r="H85"/>
      <c r="I85"/>
      <c r="J85"/>
      <c r="K85"/>
      <c r="L85"/>
    </row>
    <row r="86" spans="1:12" ht="15" x14ac:dyDescent="0.2">
      <c r="A86"/>
      <c r="B86"/>
      <c r="C86"/>
      <c r="D86"/>
      <c r="E86"/>
      <c r="F86"/>
      <c r="G86"/>
      <c r="H86"/>
      <c r="I86"/>
      <c r="J86"/>
      <c r="K86"/>
      <c r="L86"/>
    </row>
    <row r="87" spans="1:12" ht="15" x14ac:dyDescent="0.2">
      <c r="A87"/>
      <c r="B87"/>
      <c r="C87"/>
      <c r="D87"/>
      <c r="E87"/>
      <c r="F87"/>
      <c r="G87"/>
      <c r="H87"/>
      <c r="I87"/>
      <c r="J87"/>
      <c r="K87"/>
      <c r="L87"/>
    </row>
    <row r="88" spans="1:12" ht="15" x14ac:dyDescent="0.2">
      <c r="A88"/>
      <c r="B88"/>
      <c r="C88"/>
      <c r="D88"/>
      <c r="E88"/>
      <c r="F88"/>
      <c r="G88"/>
      <c r="H88"/>
      <c r="I88"/>
      <c r="J88"/>
      <c r="K88"/>
      <c r="L88"/>
    </row>
    <row r="89" spans="1:12" ht="15" x14ac:dyDescent="0.2">
      <c r="A89"/>
      <c r="B89"/>
      <c r="C89"/>
      <c r="D89"/>
      <c r="E89"/>
      <c r="F89"/>
      <c r="G89"/>
      <c r="H89"/>
      <c r="I89"/>
      <c r="J89"/>
      <c r="K89"/>
      <c r="L89"/>
    </row>
    <row r="90" spans="1:12" ht="15" x14ac:dyDescent="0.2">
      <c r="A90"/>
      <c r="B90"/>
      <c r="C90"/>
      <c r="D90"/>
      <c r="E90"/>
      <c r="F90"/>
      <c r="G90"/>
      <c r="H90"/>
      <c r="I90"/>
      <c r="J90"/>
      <c r="K90"/>
      <c r="L90"/>
    </row>
    <row r="91" spans="1:12" ht="15" x14ac:dyDescent="0.2">
      <c r="A91"/>
      <c r="B91"/>
      <c r="C91"/>
      <c r="D91"/>
      <c r="E91"/>
      <c r="F91"/>
      <c r="G91"/>
      <c r="H91"/>
      <c r="I91"/>
      <c r="J91"/>
      <c r="K91"/>
      <c r="L91"/>
    </row>
    <row r="92" spans="1:12" ht="15" x14ac:dyDescent="0.2">
      <c r="A92"/>
      <c r="B92"/>
      <c r="C92"/>
      <c r="D92"/>
      <c r="E92"/>
      <c r="F92"/>
      <c r="G92"/>
      <c r="H92"/>
      <c r="I92"/>
      <c r="J92"/>
      <c r="K92"/>
      <c r="L92"/>
    </row>
    <row r="93" spans="1:12" ht="15" x14ac:dyDescent="0.2">
      <c r="A93"/>
      <c r="B93"/>
      <c r="C93"/>
      <c r="D93"/>
      <c r="E93"/>
      <c r="F93"/>
      <c r="G93"/>
      <c r="H93"/>
      <c r="I93"/>
      <c r="J93"/>
      <c r="K93"/>
      <c r="L93"/>
    </row>
    <row r="94" spans="1:12" ht="15" x14ac:dyDescent="0.2">
      <c r="A94"/>
      <c r="B94"/>
      <c r="C94"/>
      <c r="D94"/>
      <c r="E94"/>
      <c r="F94"/>
      <c r="G94"/>
      <c r="H94"/>
      <c r="I94"/>
      <c r="J94"/>
      <c r="K94"/>
      <c r="L94"/>
    </row>
    <row r="95" spans="1:12" ht="15" x14ac:dyDescent="0.2">
      <c r="A95"/>
      <c r="B95"/>
      <c r="C95"/>
      <c r="D95"/>
      <c r="E95"/>
      <c r="F95"/>
      <c r="G95"/>
      <c r="H95"/>
      <c r="I95"/>
      <c r="J95"/>
      <c r="K95"/>
      <c r="L95"/>
    </row>
    <row r="96" spans="1:12" ht="15" x14ac:dyDescent="0.2">
      <c r="A96"/>
      <c r="B96"/>
      <c r="C96"/>
      <c r="D96"/>
      <c r="E96"/>
      <c r="F96"/>
      <c r="G96"/>
      <c r="H96"/>
      <c r="I96"/>
      <c r="J96"/>
      <c r="K96"/>
      <c r="L96"/>
    </row>
    <row r="97" spans="1:12" ht="15" x14ac:dyDescent="0.2">
      <c r="A97"/>
      <c r="B97"/>
      <c r="C97"/>
      <c r="D97"/>
      <c r="E97"/>
      <c r="F97"/>
      <c r="G97"/>
      <c r="H97"/>
      <c r="I97"/>
      <c r="J97"/>
      <c r="K97"/>
      <c r="L97"/>
    </row>
    <row r="98" spans="1:12" ht="15" x14ac:dyDescent="0.2">
      <c r="A98"/>
      <c r="B98"/>
      <c r="C98"/>
      <c r="D98"/>
      <c r="E98"/>
      <c r="F98"/>
      <c r="G98"/>
      <c r="H98"/>
      <c r="I98"/>
      <c r="J98"/>
      <c r="K98"/>
      <c r="L98"/>
    </row>
    <row r="99" spans="1:12" ht="15" x14ac:dyDescent="0.2">
      <c r="A99"/>
      <c r="B99"/>
      <c r="C99"/>
      <c r="D99"/>
      <c r="E99"/>
      <c r="F99"/>
      <c r="G99"/>
      <c r="H99"/>
      <c r="I99"/>
      <c r="J99"/>
      <c r="K99"/>
      <c r="L99"/>
    </row>
    <row r="100" spans="1:12" ht="15" x14ac:dyDescent="0.2">
      <c r="A100"/>
      <c r="B100"/>
      <c r="C100"/>
      <c r="D100"/>
      <c r="E100"/>
      <c r="F100"/>
      <c r="G100"/>
      <c r="H100"/>
      <c r="I100"/>
      <c r="J100"/>
      <c r="K100"/>
      <c r="L100"/>
    </row>
    <row r="101" spans="1:12" ht="15" x14ac:dyDescent="0.2">
      <c r="A101"/>
      <c r="B101"/>
      <c r="C101"/>
      <c r="D101"/>
      <c r="E101"/>
      <c r="F101"/>
      <c r="G101"/>
      <c r="H101"/>
      <c r="I101"/>
      <c r="J101"/>
      <c r="K101"/>
      <c r="L101"/>
    </row>
    <row r="102" spans="1:12" ht="15" x14ac:dyDescent="0.2">
      <c r="A102"/>
      <c r="B102"/>
      <c r="C102"/>
      <c r="D102"/>
      <c r="E102"/>
      <c r="F102"/>
      <c r="G102"/>
      <c r="H102"/>
      <c r="I102"/>
      <c r="J102"/>
      <c r="K102"/>
      <c r="L102"/>
    </row>
    <row r="103" spans="1:12" ht="15" x14ac:dyDescent="0.2">
      <c r="A103"/>
      <c r="B103"/>
      <c r="C103"/>
      <c r="D103"/>
      <c r="E103"/>
      <c r="F103"/>
      <c r="G103"/>
      <c r="H103"/>
      <c r="I103"/>
      <c r="J103"/>
      <c r="K103"/>
      <c r="L103"/>
    </row>
    <row r="104" spans="1:12" ht="15" x14ac:dyDescent="0.2">
      <c r="A104"/>
      <c r="B104"/>
      <c r="C104"/>
      <c r="D104"/>
      <c r="E104"/>
      <c r="F104"/>
      <c r="G104"/>
      <c r="H104"/>
      <c r="I104"/>
      <c r="J104"/>
      <c r="K104"/>
      <c r="L104"/>
    </row>
    <row r="105" spans="1:12" ht="15" x14ac:dyDescent="0.2">
      <c r="A105"/>
      <c r="B105"/>
      <c r="C105"/>
      <c r="D105"/>
      <c r="E105"/>
      <c r="F105"/>
      <c r="G105"/>
      <c r="H105"/>
      <c r="I105"/>
      <c r="J105"/>
      <c r="K105"/>
      <c r="L105"/>
    </row>
    <row r="106" spans="1:12" ht="15" x14ac:dyDescent="0.2">
      <c r="A106"/>
      <c r="B106"/>
      <c r="C106"/>
      <c r="D106"/>
      <c r="E106"/>
      <c r="F106"/>
      <c r="G106"/>
      <c r="H106"/>
      <c r="I106"/>
      <c r="J106"/>
      <c r="K106"/>
      <c r="L106"/>
    </row>
    <row r="107" spans="1:12" ht="15" x14ac:dyDescent="0.2">
      <c r="A107"/>
      <c r="B107"/>
      <c r="C107"/>
      <c r="D107"/>
      <c r="E107"/>
      <c r="F107"/>
      <c r="G107"/>
      <c r="H107"/>
      <c r="I107"/>
      <c r="J107"/>
      <c r="K107"/>
      <c r="L107"/>
    </row>
    <row r="108" spans="1:12" ht="15" x14ac:dyDescent="0.2">
      <c r="A108"/>
      <c r="B108"/>
      <c r="C108"/>
      <c r="D108"/>
      <c r="E108"/>
      <c r="F108"/>
      <c r="G108"/>
      <c r="H108"/>
      <c r="I108"/>
      <c r="J108"/>
      <c r="K108"/>
      <c r="L108"/>
    </row>
    <row r="109" spans="1:12" ht="15" x14ac:dyDescent="0.2">
      <c r="A109"/>
      <c r="B109"/>
      <c r="C109"/>
      <c r="D109"/>
      <c r="E109"/>
      <c r="F109"/>
      <c r="G109"/>
      <c r="H109"/>
      <c r="I109"/>
      <c r="J109"/>
      <c r="K109"/>
      <c r="L109"/>
    </row>
    <row r="110" spans="1:12" ht="15" x14ac:dyDescent="0.2">
      <c r="A110"/>
      <c r="B110"/>
      <c r="C110"/>
      <c r="D110"/>
      <c r="E110"/>
      <c r="F110"/>
      <c r="G110"/>
      <c r="H110"/>
      <c r="I110"/>
      <c r="J110"/>
      <c r="K110"/>
      <c r="L110"/>
    </row>
    <row r="111" spans="1:12" ht="15" x14ac:dyDescent="0.2">
      <c r="A111"/>
      <c r="B111"/>
      <c r="C111"/>
      <c r="D111"/>
      <c r="E111"/>
      <c r="F111"/>
      <c r="G111"/>
      <c r="H111"/>
      <c r="I111"/>
      <c r="J111"/>
      <c r="K111"/>
      <c r="L111"/>
    </row>
    <row r="112" spans="1:12" ht="15" x14ac:dyDescent="0.2">
      <c r="A112"/>
      <c r="B112"/>
      <c r="C112"/>
      <c r="D112"/>
      <c r="E112"/>
      <c r="F112"/>
      <c r="G112"/>
      <c r="H112"/>
      <c r="I112"/>
      <c r="J112"/>
      <c r="K112"/>
      <c r="L112"/>
    </row>
    <row r="113" spans="1:12" ht="15" x14ac:dyDescent="0.2">
      <c r="A113"/>
      <c r="B113"/>
      <c r="C113"/>
      <c r="D113"/>
      <c r="E113"/>
      <c r="F113"/>
      <c r="G113"/>
      <c r="H113"/>
      <c r="I113"/>
      <c r="J113"/>
      <c r="K113"/>
      <c r="L113"/>
    </row>
    <row r="114" spans="1:12" ht="15" x14ac:dyDescent="0.2">
      <c r="A114"/>
      <c r="B114"/>
      <c r="C114"/>
      <c r="D114"/>
      <c r="E114"/>
      <c r="F114"/>
      <c r="G114"/>
      <c r="H114"/>
      <c r="I114"/>
      <c r="J114"/>
      <c r="K114"/>
      <c r="L114"/>
    </row>
    <row r="115" spans="1:12" ht="15" x14ac:dyDescent="0.2">
      <c r="A115"/>
      <c r="B115"/>
      <c r="C115"/>
      <c r="D115"/>
      <c r="E115"/>
      <c r="F115"/>
      <c r="G115"/>
      <c r="H115"/>
      <c r="I115"/>
      <c r="J115"/>
      <c r="K115"/>
      <c r="L115"/>
    </row>
    <row r="116" spans="1:12" ht="15" x14ac:dyDescent="0.2">
      <c r="A116"/>
      <c r="B116"/>
      <c r="C116"/>
      <c r="D116"/>
      <c r="E116"/>
      <c r="F116"/>
      <c r="G116"/>
      <c r="H116"/>
      <c r="I116"/>
      <c r="J116"/>
      <c r="K116"/>
      <c r="L116"/>
    </row>
    <row r="117" spans="1:12" ht="15" x14ac:dyDescent="0.2">
      <c r="A117"/>
      <c r="B117"/>
      <c r="C117"/>
      <c r="D117"/>
      <c r="E117"/>
      <c r="F117"/>
      <c r="G117"/>
      <c r="H117"/>
      <c r="I117"/>
      <c r="J117"/>
      <c r="K117"/>
      <c r="L117"/>
    </row>
    <row r="118" spans="1:12" ht="15" x14ac:dyDescent="0.2">
      <c r="A118"/>
      <c r="B118"/>
      <c r="C118"/>
      <c r="D118"/>
      <c r="E118"/>
      <c r="F118"/>
      <c r="G118"/>
      <c r="H118"/>
      <c r="I118"/>
      <c r="J118"/>
      <c r="K118"/>
      <c r="L118"/>
    </row>
    <row r="119" spans="1:12" ht="15" x14ac:dyDescent="0.2">
      <c r="A119"/>
      <c r="B119"/>
      <c r="C119"/>
      <c r="D119"/>
      <c r="E119"/>
      <c r="F119"/>
      <c r="G119"/>
      <c r="H119"/>
      <c r="I119"/>
      <c r="J119"/>
      <c r="K119"/>
      <c r="L119"/>
    </row>
    <row r="120" spans="1:12" ht="15" x14ac:dyDescent="0.2">
      <c r="A120"/>
      <c r="B120"/>
      <c r="C120"/>
      <c r="D120"/>
      <c r="E120"/>
      <c r="F120"/>
      <c r="G120"/>
      <c r="H120"/>
      <c r="I120"/>
      <c r="J120"/>
      <c r="K120"/>
      <c r="L120"/>
    </row>
    <row r="121" spans="1:12" ht="15" x14ac:dyDescent="0.2">
      <c r="A121"/>
      <c r="B121"/>
      <c r="C121"/>
      <c r="D121"/>
      <c r="E121"/>
      <c r="F121"/>
      <c r="G121"/>
      <c r="H121"/>
      <c r="I121"/>
      <c r="J121"/>
      <c r="K121"/>
      <c r="L121"/>
    </row>
    <row r="122" spans="1:12" ht="15" x14ac:dyDescent="0.2">
      <c r="A122"/>
      <c r="B122"/>
      <c r="C122"/>
      <c r="D122"/>
      <c r="E122"/>
      <c r="F122"/>
      <c r="G122"/>
      <c r="H122"/>
      <c r="I122"/>
      <c r="J122"/>
      <c r="K122"/>
      <c r="L122"/>
    </row>
    <row r="123" spans="1:12" ht="15" x14ac:dyDescent="0.2">
      <c r="A123"/>
      <c r="B123"/>
      <c r="C123"/>
      <c r="D123"/>
      <c r="E123"/>
      <c r="F123"/>
      <c r="G123"/>
      <c r="H123"/>
      <c r="I123"/>
      <c r="J123"/>
      <c r="K123"/>
      <c r="L123"/>
    </row>
    <row r="124" spans="1:12" ht="15" x14ac:dyDescent="0.2">
      <c r="A124"/>
      <c r="B124"/>
      <c r="C124"/>
      <c r="D124"/>
      <c r="E124"/>
      <c r="F124"/>
      <c r="G124"/>
      <c r="H124"/>
      <c r="I124"/>
      <c r="J124"/>
      <c r="K124"/>
      <c r="L124"/>
    </row>
  </sheetData>
  <pageMargins left="0.7" right="0.7" top="0.75" bottom="0.75" header="0.3" footer="0.3"/>
  <pageSetup scale="5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BA04E88E9A324E82D266334BE77F5B" ma:contentTypeVersion="11" ma:contentTypeDescription="Create a new document." ma:contentTypeScope="" ma:versionID="02a2a527b6d0d1fa0f558e8cbaa2ec3c">
  <xsd:schema xmlns:xsd="http://www.w3.org/2001/XMLSchema" xmlns:xs="http://www.w3.org/2001/XMLSchema" xmlns:p="http://schemas.microsoft.com/office/2006/metadata/properties" xmlns:ns3="e7e7ba9c-a74b-4eb8-b0ec-8847179eef15" targetNamespace="http://schemas.microsoft.com/office/2006/metadata/properties" ma:root="true" ma:fieldsID="c7573fe5f937c7e83fecb4275b437bdd" ns3:_="">
    <xsd:import namespace="e7e7ba9c-a74b-4eb8-b0ec-8847179eef1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e7ba9c-a74b-4eb8-b0ec-8847179eef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0953DA1-168A-4581-A6E0-A64A4A069A8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177206E-0A82-46A0-BEF9-F8F645E832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7e7ba9c-a74b-4eb8-b0ec-8847179eef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2BEF002-1430-49FE-A422-6F3ADA0C6CE3}">
  <ds:schemaRefs>
    <ds:schemaRef ds:uri="http://www.w3.org/XML/1998/namespace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e7e7ba9c-a74b-4eb8-b0ec-8847179eef15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</dc:creator>
  <cp:lastModifiedBy>Van Horn, Dane</cp:lastModifiedBy>
  <cp:lastPrinted>2021-10-25T12:55:32Z</cp:lastPrinted>
  <dcterms:created xsi:type="dcterms:W3CDTF">2017-07-30T13:15:46Z</dcterms:created>
  <dcterms:modified xsi:type="dcterms:W3CDTF">2024-03-28T00:42:05Z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0x010100A1BA04E88E9A324E82D266334BE77F5B</vt:lpwstr>
  </property>
</Properties>
</file>